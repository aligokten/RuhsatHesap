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Özet" sheetId="1" r:id="rId1"/>
    <sheet name="Emsal Hesabı" sheetId="2" r:id="rId2"/>
    <sheet name="Bağımsız Bölümler" sheetId="3" r:id="rId3"/>
    <sheet name="Kat İrtifakı" sheetId="4" r:id="rId4"/>
    <sheet name="Yapı İnşaat Alanı" sheetId="5" r:id="rId5"/>
    <sheet name="İnşaat Alanı" sheetId="6" r:id="rId6"/>
    <sheet name="Diğer Hesaplar" sheetId="7" r:id="rId7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 \&quot;m²\&quot;"/>
    <numFmt numFmtId="165" formatCode="0.00%"/>
  </numFmts>
  <fonts count="5">
    <font>
      <sz val="10"/>
      <name val="Aptos"/>
      <family val="2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0"/>
      <color rgb="FFFFFFFF"/>
      <name val="Aptos"/>
    </font>
    <font>
      <b/>
      <sz val="10"/>
      <color rgb="FF137A4A"/>
      <name val="Aptos"/>
    </font>
  </fonts>
  <fills count="7">
    <fill>
      <patternFill patternType="none"/>
    </fill>
    <fill>
      <patternFill patternType="gray125"/>
    </fill>
    <fill>
      <patternFill patternType="solid">
        <fgColor rgb="FF171B1C"/>
        <bgColor indexed="64"/>
      </patternFill>
    </fill>
    <fill>
      <patternFill patternType="solid">
        <fgColor rgb="FF18A05E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E8F1F8"/>
        <bgColor indexed="64"/>
      </patternFill>
    </fill>
  </fills>
  <borders count="3">
    <border/>
    <border>
      <left style="thin">
        <color rgb="FFB8C1C3"/>
      </left>
      <right style="thin">
        <color rgb="FFB8C1C3"/>
      </right>
      <top style="thin">
        <color rgb="FFB8C1C3"/>
      </top>
      <bottom style="thin">
        <color rgb="FFB8C1C3"/>
      </bottom>
      <diagonal/>
    </border>
    <border>
      <left style="medium">
        <color rgb="FF18A05E"/>
      </left>
      <right style="medium">
        <color rgb="FF18A05E"/>
      </right>
      <top style="medium">
        <color rgb="FF18A05E"/>
      </top>
      <bottom style="medium">
        <color rgb="FF18A05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5" fontId="0" fillId="6" borderId="1" xfId="0" applyNumberForma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28" customWidth="1"/>
    <col min="2" max="2" width="22" customWidth="1"/>
    <col min="3" max="3" width="4" customWidth="1"/>
    <col min="4" max="4" width="31" customWidth="1"/>
    <col min="5" max="5" width="22" customWidth="1"/>
    <col min="6" max="6" width="4" customWidth="1"/>
    <col min="7" max="7" width="20" customWidth="1"/>
    <col min="8" max="8" width="20" customWidth="1"/>
  </cols>
  <sheetData>
    <row r="1" ht="30" customHeight="1">
      <c r="A1" s="1" t="inlineStr">
        <is>
          <t xml:space="preserve">RUHSAT HESAP — PROJE RAPORU</t>
        </is>
      </c>
    </row>
    <row r="3">
      <c r="A3" s="2" t="inlineStr">
        <is>
          <t xml:space="preserve">PARSEL BİLGİLERİ</t>
        </is>
      </c>
      <c r="D3" s="2" t="inlineStr">
        <is>
          <t xml:space="preserve">TAKS / KAKS VE KONTROLLER</t>
        </is>
      </c>
    </row>
    <row r="4">
      <c r="A4" s="4" t="inlineStr">
        <is>
          <t xml:space="preserve">Proje</t>
        </is>
      </c>
      <c r="B4" s="9" t="inlineStr">
        <is>
          <t xml:space="preserve">Çınar Apartmanı</t>
        </is>
      </c>
      <c r="D4" s="4" t="inlineStr">
        <is>
          <t xml:space="preserve">Azami TAKS Alanı</t>
        </is>
      </c>
      <c r="E4" s="7">
        <f>ROUND(B11*B12,2)</f>
        <v>564.072</v>
      </c>
    </row>
    <row r="5">
      <c r="A5" s="4" t="inlineStr">
        <is>
          <t xml:space="preserve">İl</t>
        </is>
      </c>
      <c r="B5" s="9" t="inlineStr">
        <is>
          <t xml:space="preserve">İstanbul</t>
        </is>
      </c>
      <c r="D5" s="4" t="inlineStr">
        <is>
          <t xml:space="preserve">Azami Emsal Alanı</t>
        </is>
      </c>
      <c r="E5" s="7">
        <f>ROUND(IF(B15="direct",B14,B11*B13),2)</f>
        <v>1128.144</v>
      </c>
    </row>
    <row r="6">
      <c r="A6" s="4" t="inlineStr">
        <is>
          <t xml:space="preserve">İlçe</t>
        </is>
      </c>
      <c r="B6" s="9" t="inlineStr">
        <is>
          <t xml:space="preserve">Kadıköy</t>
        </is>
      </c>
      <c r="D6" s="4" t="inlineStr">
        <is>
          <t xml:space="preserve">Hesaplanan Emsal</t>
        </is>
      </c>
      <c r="E6" s="7">
        <f>'Emsal Hesabı'!H14</f>
        <v>1053.86</v>
      </c>
    </row>
    <row r="7">
      <c r="A7" s="4" t="inlineStr">
        <is>
          <t xml:space="preserve">Mahalle</t>
        </is>
      </c>
      <c r="B7" s="9" t="inlineStr">
        <is>
          <t xml:space="preserve">Koşuyolu</t>
        </is>
      </c>
      <c r="D7" s="4" t="inlineStr">
        <is>
          <t xml:space="preserve">Emsal Aşımı</t>
        </is>
      </c>
      <c r="E7" s="8">
        <f>ROUND(MAX(0,E6-E5),2)</f>
        <v>0</v>
      </c>
    </row>
    <row r="8">
      <c r="A8" s="4" t="inlineStr">
        <is>
          <t xml:space="preserve">Ada</t>
        </is>
      </c>
      <c r="B8" s="9" t="inlineStr">
        <is>
          <t xml:space="preserve">2170</t>
        </is>
      </c>
      <c r="D8" s="4" t="inlineStr">
        <is>
          <t xml:space="preserve">Emsal Kontrolü</t>
        </is>
      </c>
      <c r="E8" s="8">
        <f>IF(E7&gt;0,"AŞIM: "&amp;TEXT(E7,"0.00")&amp;" m²","✓ UYGUN")</f>
        <v>0</v>
      </c>
    </row>
    <row r="9">
      <c r="A9" s="4" t="inlineStr">
        <is>
          <t xml:space="preserve">Parsel</t>
        </is>
      </c>
      <c r="B9" s="9" t="inlineStr">
        <is>
          <t xml:space="preserve">14</t>
        </is>
      </c>
    </row>
    <row r="10">
      <c r="D10" s="4" t="inlineStr">
        <is>
          <t xml:space="preserve">Gerekli Ağaç</t>
        </is>
      </c>
      <c r="E10" s="7">
        <f>ROUNDUP(MAX(0,(B11-B16)/30),0)</f>
        <v>31</v>
      </c>
    </row>
    <row r="11">
      <c r="A11" s="4" t="inlineStr">
        <is>
          <t xml:space="preserve">Parsel Alanı (m²)</t>
        </is>
      </c>
      <c r="B11" s="9">
        <v>1410.18</v>
      </c>
      <c r="D11" s="4" t="inlineStr">
        <is>
          <t xml:space="preserve">Gerekli Otopark</t>
        </is>
      </c>
      <c r="E11" s="7">
        <f>ROUNDUP('Bağımsız Bölümler'!N16,0)</f>
        <v>5</v>
      </c>
    </row>
    <row r="12">
      <c r="A12" s="4" t="inlineStr">
        <is>
          <t xml:space="preserve">TAKS Oranı</t>
        </is>
      </c>
      <c r="B12" s="6">
        <v>0.4</v>
      </c>
      <c r="D12" s="4" t="inlineStr">
        <is>
          <t xml:space="preserve">Projede Ayrılan Otopark</t>
        </is>
      </c>
      <c r="E12" s="9">
        <v>12</v>
      </c>
    </row>
    <row r="13">
      <c r="A13" s="4" t="inlineStr">
        <is>
          <t xml:space="preserve">KAKS Oranı</t>
        </is>
      </c>
      <c r="B13" s="6">
        <v>0.8</v>
      </c>
      <c r="D13" s="4" t="inlineStr">
        <is>
          <t xml:space="preserve">Otopark Kontrolü</t>
        </is>
      </c>
      <c r="E13" s="8">
        <f>IF(E12&gt;=E11,"✓ SAĞLANDI","EKSİK: "&amp;(E11-E12))</f>
        <v>0</v>
      </c>
    </row>
    <row r="14">
      <c r="A14" s="4" t="inlineStr">
        <is>
          <t xml:space="preserve">Doğrudan Emsal Hakkı</t>
        </is>
      </c>
      <c r="B14" s="9">
        <v>0</v>
      </c>
    </row>
    <row r="15">
      <c r="A15" s="4" t="inlineStr">
        <is>
          <t xml:space="preserve">Emsal Yöntemi</t>
        </is>
      </c>
      <c r="B15" s="9" t="inlineStr">
        <is>
          <t xml:space="preserve">kaks</t>
        </is>
      </c>
      <c r="D15" s="4" t="inlineStr">
        <is>
          <t xml:space="preserve">Toplam Yapı İnşaat Alanı</t>
        </is>
      </c>
      <c r="E15" s="7">
        <f>ROUND(SUM('İnşaat Alanı'!D4:D7),2)</f>
        <v>1331.2</v>
      </c>
    </row>
    <row r="16">
      <c r="A16" s="4" t="inlineStr">
        <is>
          <t xml:space="preserve">Yapı Oturum Alanı</t>
        </is>
      </c>
      <c r="B16" s="9">
        <v>491</v>
      </c>
      <c r="D16" s="4" t="inlineStr">
        <is>
          <t xml:space="preserve">İstinat Duvarı</t>
        </is>
      </c>
      <c r="E16" s="7">
        <f>'Diğer Hesaplar'!B5</f>
        <v>652.82</v>
      </c>
    </row>
    <row r="19">
      <c r="A19" s="4" t="inlineStr">
        <is>
          <t xml:space="preserve">Çıktıdaki mavi hücreler proje girdilerini, yeşil toplamlar formül sonuçlarını gösterir. Excel açıldığında formüller yeniden hesaplanır.</t>
        </is>
      </c>
    </row>
  </sheetData>
  <mergeCells count="4">
    <mergeCell ref="A1:H1"/>
    <mergeCell ref="A3:B3"/>
    <mergeCell ref="D3:E3"/>
    <mergeCell ref="A19:H19"/>
  </mergeCells>
  <pageMargins left="0.25" right="0.25" top="0.4" bottom="0.4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8"/>
  <cols>
    <col min="1" max="1" width="13" customWidth="1"/>
    <col min="2" max="2" width="20" customWidth="1"/>
    <col min="3" max="3" width="15" customWidth="1"/>
    <col min="4" max="4" width="15" customWidth="1"/>
    <col min="5" max="5" width="15" customWidth="1"/>
    <col min="6" max="6" width="16" customWidth="1"/>
    <col min="7" max="7" width="16" customWidth="1"/>
    <col min="8" max="8" width="16" customWidth="1"/>
    <col min="9" max="9" width="18" customWidth="1"/>
  </cols>
  <sheetData>
    <row r="1" ht="30" customHeight="1">
      <c r="A1" s="1" t="inlineStr">
        <is>
          <t xml:space="preserve">EMSAL HESAP TABLOSU</t>
        </is>
      </c>
    </row>
    <row r="3">
      <c r="A3" s="3" t="inlineStr">
        <is>
          <t xml:space="preserve">Blok</t>
        </is>
      </c>
      <c r="B3" s="3" t="inlineStr">
        <is>
          <t xml:space="preserve">Kat</t>
        </is>
      </c>
      <c r="C3" s="3" t="inlineStr">
        <is>
          <t xml:space="preserve">Emsale Konu Kat Holü</t>
        </is>
      </c>
      <c r="D3" s="3" t="inlineStr">
        <is>
          <t xml:space="preserve">Merdiven</t>
        </is>
      </c>
      <c r="E3" s="3" t="inlineStr">
        <is>
          <t xml:space="preserve">Saçak</t>
        </is>
      </c>
      <c r="F3" s="3" t="inlineStr">
        <is>
          <t xml:space="preserve">%30 Dahil Toplam</t>
        </is>
      </c>
      <c r="G3" s="3" t="inlineStr">
        <is>
          <t xml:space="preserve">Emsal Dışı</t>
        </is>
      </c>
      <c r="H3" s="3" t="inlineStr">
        <is>
          <t xml:space="preserve">Emsal Alan</t>
        </is>
      </c>
      <c r="I3" s="3" t="inlineStr">
        <is>
          <t xml:space="preserve">Toplam İnşaat</t>
        </is>
      </c>
    </row>
    <row r="4">
      <c r="A4" s="4" t="inlineStr">
        <is>
          <t xml:space="preserve">A</t>
        </is>
      </c>
      <c r="B4" s="4" t="inlineStr">
        <is>
          <t xml:space="preserve">Bodrum Kat</t>
        </is>
      </c>
      <c r="C4" s="5">
        <v>0</v>
      </c>
      <c r="D4" s="5">
        <v>11.35</v>
      </c>
      <c r="E4" s="5">
        <v>4.28</v>
      </c>
      <c r="F4" s="5">
        <f>ROUND(SUM(C4:E4),2)</f>
        <v>15.63</v>
      </c>
      <c r="G4" s="5">
        <v>57.08</v>
      </c>
      <c r="H4" s="5">
        <v>104.81</v>
      </c>
      <c r="I4" s="5">
        <f>ROUND(SUM(F4:H4),2)</f>
        <v>177.52</v>
      </c>
    </row>
    <row r="5">
      <c r="A5" s="4" t="inlineStr">
        <is>
          <t xml:space="preserve">A</t>
        </is>
      </c>
      <c r="B5" s="4" t="inlineStr">
        <is>
          <t xml:space="preserve">Zemin Kat</t>
        </is>
      </c>
      <c r="C5" s="5">
        <v>17.04</v>
      </c>
      <c r="D5" s="5">
        <v>11.06</v>
      </c>
      <c r="E5" s="5">
        <v>1.85</v>
      </c>
      <c r="F5" s="5">
        <f>ROUND(SUM(C5:E5),2)</f>
        <v>29.95</v>
      </c>
      <c r="G5" s="5">
        <v>0</v>
      </c>
      <c r="H5" s="5">
        <v>211.06</v>
      </c>
      <c r="I5" s="5">
        <f>ROUND(SUM(F5:H5),2)</f>
        <v>241.01</v>
      </c>
    </row>
    <row r="6">
      <c r="A6" s="4" t="inlineStr">
        <is>
          <t xml:space="preserve">A</t>
        </is>
      </c>
      <c r="B6" s="4" t="inlineStr">
        <is>
          <t xml:space="preserve">1. Kat</t>
        </is>
      </c>
      <c r="C6" s="5">
        <v>17.03</v>
      </c>
      <c r="D6" s="5">
        <v>11.06</v>
      </c>
      <c r="E6" s="5">
        <v>0</v>
      </c>
      <c r="F6" s="5">
        <f>ROUND(SUM(C6:E6),2)</f>
        <v>28.09</v>
      </c>
      <c r="G6" s="5">
        <v>0</v>
      </c>
      <c r="H6" s="5">
        <v>211.06</v>
      </c>
      <c r="I6" s="5">
        <f>ROUND(SUM(F6:H6),2)</f>
        <v>239.15</v>
      </c>
    </row>
    <row r="7">
      <c r="A7" s="4" t="inlineStr">
        <is>
          <t xml:space="preserve">A</t>
        </is>
      </c>
      <c r="B7" s="4" t="inlineStr">
        <is>
          <t xml:space="preserve">Çatı Katı</t>
        </is>
      </c>
      <c r="C7" s="5">
        <v>0</v>
      </c>
      <c r="D7" s="5">
        <v>13.73</v>
      </c>
      <c r="E7" s="5">
        <v>0</v>
      </c>
      <c r="F7" s="5">
        <f>ROUND(SUM(C7:E7),2)</f>
        <v>13.73</v>
      </c>
      <c r="G7" s="5">
        <v>0</v>
      </c>
      <c r="H7" s="5">
        <v>0</v>
      </c>
      <c r="I7" s="5">
        <f>ROUND(SUM(F7:H7),2)</f>
        <v>13.73</v>
      </c>
    </row>
    <row r="8">
      <c r="A8" s="7" t="inlineStr">
        <is>
          <t xml:space="preserve">A BLOK TOPLAMI</t>
        </is>
      </c>
      <c r="C8" s="7">
        <f>ROUND(SUM(C4:C7),2)</f>
        <v>0</v>
      </c>
      <c r="D8" s="7">
        <f>ROUND(SUM(D4:D7),2)</f>
        <v>0</v>
      </c>
      <c r="E8" s="7">
        <f>ROUND(SUM(E4:E7),2)</f>
        <v>0</v>
      </c>
      <c r="F8" s="7">
        <f>ROUND(SUM(F4:F7),2)</f>
        <v>0</v>
      </c>
      <c r="G8" s="7">
        <f>ROUND(SUM(G4:G7),2)</f>
        <v>0</v>
      </c>
      <c r="H8" s="7">
        <f>ROUND(SUM(H4:H7),2)</f>
        <v>0</v>
      </c>
      <c r="I8" s="7">
        <f>ROUND(SUM(I4:I7),2)</f>
        <v>0</v>
      </c>
    </row>
    <row r="9">
      <c r="A9" s="4" t="inlineStr">
        <is>
          <t xml:space="preserve">B</t>
        </is>
      </c>
      <c r="B9" s="4" t="inlineStr">
        <is>
          <t xml:space="preserve">Bodrum Kat</t>
        </is>
      </c>
      <c r="C9" s="5">
        <v>0</v>
      </c>
      <c r="D9" s="5">
        <v>11.35</v>
      </c>
      <c r="E9" s="5">
        <v>4.28</v>
      </c>
      <c r="F9" s="5">
        <f>ROUND(SUM(C9:E9),2)</f>
        <v>15.63</v>
      </c>
      <c r="G9" s="5">
        <v>57.08</v>
      </c>
      <c r="H9" s="5">
        <v>104.81</v>
      </c>
      <c r="I9" s="5">
        <f>ROUND(SUM(F9:H9),2)</f>
        <v>177.52</v>
      </c>
    </row>
    <row r="10">
      <c r="A10" s="4" t="inlineStr">
        <is>
          <t xml:space="preserve">B</t>
        </is>
      </c>
      <c r="B10" s="4" t="inlineStr">
        <is>
          <t xml:space="preserve">Zemin Kat</t>
        </is>
      </c>
      <c r="C10" s="5">
        <v>17.04</v>
      </c>
      <c r="D10" s="5">
        <v>11.06</v>
      </c>
      <c r="E10" s="5">
        <v>1.85</v>
      </c>
      <c r="F10" s="5">
        <f>ROUND(SUM(C10:E10),2)</f>
        <v>29.95</v>
      </c>
      <c r="G10" s="5">
        <v>0</v>
      </c>
      <c r="H10" s="5">
        <v>211.06</v>
      </c>
      <c r="I10" s="5">
        <f>ROUND(SUM(F10:H10),2)</f>
        <v>241.01</v>
      </c>
    </row>
    <row r="11">
      <c r="A11" s="4" t="inlineStr">
        <is>
          <t xml:space="preserve">B</t>
        </is>
      </c>
      <c r="B11" s="4" t="inlineStr">
        <is>
          <t xml:space="preserve">1. Kat</t>
        </is>
      </c>
      <c r="C11" s="5">
        <v>17.03</v>
      </c>
      <c r="D11" s="5">
        <v>11.06</v>
      </c>
      <c r="E11" s="5">
        <v>0</v>
      </c>
      <c r="F11" s="5">
        <f>ROUND(SUM(C11:E11),2)</f>
        <v>28.09</v>
      </c>
      <c r="G11" s="5">
        <v>0</v>
      </c>
      <c r="H11" s="5">
        <v>211.06</v>
      </c>
      <c r="I11" s="5">
        <f>ROUND(SUM(F11:H11),2)</f>
        <v>239.15</v>
      </c>
    </row>
    <row r="12">
      <c r="A12" s="4" t="inlineStr">
        <is>
          <t xml:space="preserve">B</t>
        </is>
      </c>
      <c r="B12" s="4" t="inlineStr">
        <is>
          <t xml:space="preserve">Çatı Katı</t>
        </is>
      </c>
      <c r="C12" s="5">
        <v>0</v>
      </c>
      <c r="D12" s="5">
        <v>13.73</v>
      </c>
      <c r="E12" s="5">
        <v>0</v>
      </c>
      <c r="F12" s="5">
        <f>ROUND(SUM(C12:E12),2)</f>
        <v>13.73</v>
      </c>
      <c r="G12" s="5">
        <v>0</v>
      </c>
      <c r="H12" s="5">
        <v>0</v>
      </c>
      <c r="I12" s="5">
        <f>ROUND(SUM(F12:H12),2)</f>
        <v>13.73</v>
      </c>
    </row>
    <row r="13">
      <c r="A13" s="7" t="inlineStr">
        <is>
          <t xml:space="preserve">B BLOK TOPLAMI</t>
        </is>
      </c>
      <c r="C13" s="7">
        <f>ROUND(SUM(C9:C12),2)</f>
        <v>0</v>
      </c>
      <c r="D13" s="7">
        <f>ROUND(SUM(D9:D12),2)</f>
        <v>0</v>
      </c>
      <c r="E13" s="7">
        <f>ROUND(SUM(E9:E12),2)</f>
        <v>0</v>
      </c>
      <c r="F13" s="7">
        <f>ROUND(SUM(F9:F12),2)</f>
        <v>0</v>
      </c>
      <c r="G13" s="7">
        <f>ROUND(SUM(G9:G12),2)</f>
        <v>0</v>
      </c>
      <c r="H13" s="7">
        <f>ROUND(SUM(H9:H12),2)</f>
        <v>0</v>
      </c>
      <c r="I13" s="7">
        <f>ROUND(SUM(I9:I12),2)</f>
        <v>0</v>
      </c>
    </row>
    <row r="14">
      <c r="A14" s="7" t="inlineStr">
        <is>
          <t xml:space="preserve">GENEL TOPLAM</t>
        </is>
      </c>
      <c r="C14" s="7">
        <f>ROUND(SUM(C8,C13),2)</f>
        <v>0</v>
      </c>
      <c r="D14" s="7">
        <f>ROUND(SUM(D8,D13),2)</f>
        <v>0</v>
      </c>
      <c r="E14" s="7">
        <f>ROUND(SUM(E8,E13),2)</f>
        <v>0</v>
      </c>
      <c r="F14" s="7">
        <f>ROUND(SUM(F8,F13),2)</f>
        <v>0</v>
      </c>
      <c r="G14" s="7">
        <f>ROUND(SUM(G8,G13),2)</f>
        <v>0</v>
      </c>
      <c r="H14" s="7">
        <f>ROUND(SUM(H8,H13),2)</f>
        <v>0</v>
      </c>
      <c r="I14" s="7">
        <f>ROUND(SUM(I8,I13),2)</f>
        <v>0</v>
      </c>
    </row>
  </sheetData>
  <mergeCells count="4">
    <mergeCell ref="A1:I1"/>
    <mergeCell ref="A8:B8"/>
    <mergeCell ref="A13:B13"/>
    <mergeCell ref="A14:B14"/>
  </mergeCells>
  <pageMargins left="0.25" right="0.25" top="0.4" bottom="0.4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8"/>
  <cols>
    <col min="1" max="1" width="10" customWidth="1"/>
    <col min="2" max="2" width="11" customWidth="1"/>
    <col min="3" max="3" width="18" customWidth="1"/>
    <col min="4" max="4" width="16" customWidth="1"/>
    <col min="5" max="5" width="9" customWidth="1"/>
    <col min="6" max="6" width="15" customWidth="1"/>
    <col min="7" max="7" width="15" customWidth="1"/>
    <col min="8" max="8" width="15" customWidth="1"/>
    <col min="9" max="9" width="16" customWidth="1"/>
    <col min="10" max="10" width="14" customWidth="1"/>
    <col min="11" max="11" width="15" customWidth="1"/>
    <col min="12" max="12" width="14" customWidth="1"/>
    <col min="13" max="13" width="14" customWidth="1"/>
    <col min="14" max="14" width="15" customWidth="1"/>
  </cols>
  <sheetData>
    <row r="1" ht="30" customHeight="1">
      <c r="A1" s="1" t="inlineStr">
        <is>
          <t xml:space="preserve">BAĞIMSIZ BÖLÜM ALAN TABLOSU</t>
        </is>
      </c>
    </row>
    <row r="3">
      <c r="A3" s="3" t="inlineStr">
        <is>
          <t xml:space="preserve">Blok</t>
        </is>
      </c>
      <c r="B3" s="3" t="inlineStr">
        <is>
          <t xml:space="preserve">BB No</t>
        </is>
      </c>
      <c r="C3" s="3" t="inlineStr">
        <is>
          <t xml:space="preserve">Kat</t>
        </is>
      </c>
      <c r="D3" s="3" t="inlineStr">
        <is>
          <t xml:space="preserve">Nitelik</t>
        </is>
      </c>
      <c r="E3" s="3" t="inlineStr">
        <is>
          <t xml:space="preserve">Oda</t>
        </is>
      </c>
      <c r="F3" s="3" t="inlineStr">
        <is>
          <t xml:space="preserve">BB Brüt</t>
        </is>
      </c>
      <c r="G3" s="3" t="inlineStr">
        <is>
          <t xml:space="preserve">Eklenti Brüt</t>
        </is>
      </c>
      <c r="H3" s="3" t="inlineStr">
        <is>
          <t xml:space="preserve">Toplam Brüt</t>
        </is>
      </c>
      <c r="I3" s="3" t="inlineStr">
        <is>
          <t xml:space="preserve">Genel Brüt</t>
        </is>
      </c>
      <c r="J3" s="3" t="inlineStr">
        <is>
          <t xml:space="preserve">BB Net</t>
        </is>
      </c>
      <c r="K3" s="3" t="inlineStr">
        <is>
          <t xml:space="preserve">Eklenti Net</t>
        </is>
      </c>
      <c r="L3" s="3" t="inlineStr">
        <is>
          <t xml:space="preserve">%20 Balkon</t>
        </is>
      </c>
      <c r="M3" s="3" t="inlineStr">
        <is>
          <t xml:space="preserve">Balkon Alanı</t>
        </is>
      </c>
      <c r="N3" s="3" t="inlineStr">
        <is>
          <t xml:space="preserve">Otopark Payı</t>
        </is>
      </c>
    </row>
    <row r="4">
      <c r="A4" s="4" t="inlineStr">
        <is>
          <t xml:space="preserve">A</t>
        </is>
      </c>
      <c r="B4" s="4" t="inlineStr">
        <is>
          <t xml:space="preserve">1</t>
        </is>
      </c>
      <c r="C4" s="4" t="inlineStr">
        <is>
          <t xml:space="preserve">Zemin Kat</t>
        </is>
      </c>
      <c r="D4" s="4" t="inlineStr">
        <is>
          <t xml:space="preserve">Mesken</t>
        </is>
      </c>
      <c r="E4" s="5">
        <v>2</v>
      </c>
      <c r="F4" s="9">
        <v>66.27</v>
      </c>
      <c r="G4" s="9">
        <v>0</v>
      </c>
      <c r="H4" s="5">
        <f>ROUND(F4+G4,2)</f>
        <v>66.27</v>
      </c>
      <c r="I4" s="5">
        <f>ROUND(H4+35.908333,2)</f>
        <v>102.178333</v>
      </c>
      <c r="J4" s="9">
        <v>33.29</v>
      </c>
      <c r="K4" s="9">
        <v>0</v>
      </c>
      <c r="L4" s="5">
        <f>ROUND(J4/5,2)</f>
        <v>6.658</v>
      </c>
      <c r="M4" s="9">
        <v>5</v>
      </c>
      <c r="N4" s="5">
        <f>IF(F4&lt;=0,0,IF(F4&lt;80,1/3,IF(F4&lt;120,1/2,IF(F4&lt;180,1,2))))</f>
        <v>0.333333</v>
      </c>
    </row>
    <row r="5">
      <c r="A5" s="4" t="inlineStr">
        <is>
          <t xml:space="preserve">A</t>
        </is>
      </c>
      <c r="B5" s="4" t="inlineStr">
        <is>
          <t xml:space="preserve">2</t>
        </is>
      </c>
      <c r="C5" s="4" t="inlineStr">
        <is>
          <t xml:space="preserve">Zemin Kat</t>
        </is>
      </c>
      <c r="D5" s="4" t="inlineStr">
        <is>
          <t xml:space="preserve">Mesken</t>
        </is>
      </c>
      <c r="E5" s="5">
        <v>3</v>
      </c>
      <c r="F5" s="9">
        <v>83.78</v>
      </c>
      <c r="G5" s="9">
        <v>0</v>
      </c>
      <c r="H5" s="5">
        <f>ROUND(F5+G5,2)</f>
        <v>83.78</v>
      </c>
      <c r="I5" s="5">
        <f>ROUND(H5+35.908333,2)</f>
        <v>119.688333</v>
      </c>
      <c r="J5" s="9">
        <v>47.48</v>
      </c>
      <c r="K5" s="9">
        <v>0</v>
      </c>
      <c r="L5" s="5">
        <f>ROUND(J5/5,2)</f>
        <v>9.496</v>
      </c>
      <c r="M5" s="9">
        <v>4.8</v>
      </c>
      <c r="N5" s="5">
        <f>IF(F5&lt;=0,0,IF(F5&lt;80,1/3,IF(F5&lt;120,1/2,IF(F5&lt;180,1,2))))</f>
        <v>0.5</v>
      </c>
    </row>
    <row r="6">
      <c r="A6" s="4" t="inlineStr">
        <is>
          <t xml:space="preserve">A</t>
        </is>
      </c>
      <c r="B6" s="4" t="inlineStr">
        <is>
          <t xml:space="preserve">3</t>
        </is>
      </c>
      <c r="C6" s="4" t="inlineStr">
        <is>
          <t xml:space="preserve">1. Kat</t>
        </is>
      </c>
      <c r="D6" s="4" t="inlineStr">
        <is>
          <t xml:space="preserve">Mesken</t>
        </is>
      </c>
      <c r="E6" s="5">
        <v>1</v>
      </c>
      <c r="F6" s="9">
        <v>66.27</v>
      </c>
      <c r="G6" s="9">
        <v>0</v>
      </c>
      <c r="H6" s="5">
        <f>ROUND(F6+G6,2)</f>
        <v>66.27</v>
      </c>
      <c r="I6" s="5">
        <f>ROUND(H6+35.908333,2)</f>
        <v>102.178333</v>
      </c>
      <c r="J6" s="9">
        <v>33.29</v>
      </c>
      <c r="K6" s="9">
        <v>0</v>
      </c>
      <c r="L6" s="5">
        <f>ROUND(J6/5,2)</f>
        <v>6.658</v>
      </c>
      <c r="M6" s="9">
        <v>5</v>
      </c>
      <c r="N6" s="5">
        <f>IF(F6&lt;=0,0,IF(F6&lt;80,1/3,IF(F6&lt;120,1/2,IF(F6&lt;180,1,2))))</f>
        <v>0.333333</v>
      </c>
    </row>
    <row r="7">
      <c r="A7" s="4" t="inlineStr">
        <is>
          <t xml:space="preserve">A</t>
        </is>
      </c>
      <c r="B7" s="4" t="inlineStr">
        <is>
          <t xml:space="preserve">4</t>
        </is>
      </c>
      <c r="C7" s="4" t="inlineStr">
        <is>
          <t xml:space="preserve">1. Kat</t>
        </is>
      </c>
      <c r="D7" s="4" t="inlineStr">
        <is>
          <t xml:space="preserve">Mesken</t>
        </is>
      </c>
      <c r="E7" s="5">
        <v>2</v>
      </c>
      <c r="F7" s="9">
        <v>83.78</v>
      </c>
      <c r="G7" s="9">
        <v>0</v>
      </c>
      <c r="H7" s="5">
        <f>ROUND(F7+G7,2)</f>
        <v>83.78</v>
      </c>
      <c r="I7" s="5">
        <f>ROUND(H7+35.908333,2)</f>
        <v>119.688333</v>
      </c>
      <c r="J7" s="9">
        <v>47.48</v>
      </c>
      <c r="K7" s="9">
        <v>0</v>
      </c>
      <c r="L7" s="5">
        <f>ROUND(J7/5,2)</f>
        <v>9.496</v>
      </c>
      <c r="M7" s="9">
        <v>4.8</v>
      </c>
      <c r="N7" s="5">
        <f>IF(F7&lt;=0,0,IF(F7&lt;80,1/3,IF(F7&lt;120,1/2,IF(F7&lt;180,1,2))))</f>
        <v>0.5</v>
      </c>
    </row>
    <row r="8">
      <c r="A8" s="4" t="inlineStr">
        <is>
          <t xml:space="preserve">A</t>
        </is>
      </c>
      <c r="B8" s="4" t="inlineStr">
        <is>
          <t xml:space="preserve">5</t>
        </is>
      </c>
      <c r="C8" s="4" t="inlineStr">
        <is>
          <t xml:space="preserve">Bodrum Kat</t>
        </is>
      </c>
      <c r="D8" s="4" t="inlineStr">
        <is>
          <t xml:space="preserve">Mesken</t>
        </is>
      </c>
      <c r="E8" s="5">
        <v>3</v>
      </c>
      <c r="F8" s="9">
        <v>66.27</v>
      </c>
      <c r="G8" s="9">
        <v>0</v>
      </c>
      <c r="H8" s="5">
        <f>ROUND(F8+G8,2)</f>
        <v>66.27</v>
      </c>
      <c r="I8" s="5">
        <f>ROUND(H8+35.908333,2)</f>
        <v>102.178333</v>
      </c>
      <c r="J8" s="9">
        <v>33.29</v>
      </c>
      <c r="K8" s="9">
        <v>0</v>
      </c>
      <c r="L8" s="5">
        <f>ROUND(J8/5,2)</f>
        <v>6.658</v>
      </c>
      <c r="M8" s="9">
        <v>5</v>
      </c>
      <c r="N8" s="5">
        <f>IF(F8&lt;=0,0,IF(F8&lt;80,1/3,IF(F8&lt;120,1/2,IF(F8&lt;180,1,2))))</f>
        <v>0.333333</v>
      </c>
    </row>
    <row r="9">
      <c r="A9" s="4" t="inlineStr">
        <is>
          <t xml:space="preserve">A</t>
        </is>
      </c>
      <c r="B9" s="4" t="inlineStr">
        <is>
          <t xml:space="preserve">6</t>
        </is>
      </c>
      <c r="C9" s="4" t="inlineStr">
        <is>
          <t xml:space="preserve">Bodrum Kat</t>
        </is>
      </c>
      <c r="D9" s="4" t="inlineStr">
        <is>
          <t xml:space="preserve">Mesken</t>
        </is>
      </c>
      <c r="E9" s="5">
        <v>1</v>
      </c>
      <c r="F9" s="9">
        <v>83.78</v>
      </c>
      <c r="G9" s="9">
        <v>0</v>
      </c>
      <c r="H9" s="5">
        <f>ROUND(F9+G9,2)</f>
        <v>83.78</v>
      </c>
      <c r="I9" s="5">
        <f>ROUND(H9+35.908333,2)</f>
        <v>119.688333</v>
      </c>
      <c r="J9" s="9">
        <v>47.48</v>
      </c>
      <c r="K9" s="9">
        <v>0</v>
      </c>
      <c r="L9" s="5">
        <f>ROUND(J9/5,2)</f>
        <v>9.496</v>
      </c>
      <c r="M9" s="9">
        <v>4.8</v>
      </c>
      <c r="N9" s="5">
        <f>IF(F9&lt;=0,0,IF(F9&lt;80,1/3,IF(F9&lt;120,1/2,IF(F9&lt;180,1,2))))</f>
        <v>0.5</v>
      </c>
    </row>
    <row r="10">
      <c r="A10" s="4" t="inlineStr">
        <is>
          <t xml:space="preserve">B</t>
        </is>
      </c>
      <c r="B10" s="4" t="inlineStr">
        <is>
          <t xml:space="preserve">1</t>
        </is>
      </c>
      <c r="C10" s="4" t="inlineStr">
        <is>
          <t xml:space="preserve">Zemin Kat</t>
        </is>
      </c>
      <c r="D10" s="4" t="inlineStr">
        <is>
          <t xml:space="preserve">Mesken</t>
        </is>
      </c>
      <c r="E10" s="5">
        <v>2</v>
      </c>
      <c r="F10" s="9">
        <v>66.27</v>
      </c>
      <c r="G10" s="9">
        <v>0</v>
      </c>
      <c r="H10" s="5">
        <f>ROUND(F10+G10,2)</f>
        <v>66.27</v>
      </c>
      <c r="I10" s="5">
        <f>ROUND(H10+35.908333,2)</f>
        <v>102.178333</v>
      </c>
      <c r="J10" s="9">
        <v>33.29</v>
      </c>
      <c r="K10" s="9">
        <v>0</v>
      </c>
      <c r="L10" s="5">
        <f>ROUND(J10/5,2)</f>
        <v>6.658</v>
      </c>
      <c r="M10" s="9">
        <v>5</v>
      </c>
      <c r="N10" s="5">
        <f>IF(F10&lt;=0,0,IF(F10&lt;80,1/3,IF(F10&lt;120,1/2,IF(F10&lt;180,1,2))))</f>
        <v>0.333333</v>
      </c>
    </row>
    <row r="11">
      <c r="A11" s="4" t="inlineStr">
        <is>
          <t xml:space="preserve">B</t>
        </is>
      </c>
      <c r="B11" s="4" t="inlineStr">
        <is>
          <t xml:space="preserve">2</t>
        </is>
      </c>
      <c r="C11" s="4" t="inlineStr">
        <is>
          <t xml:space="preserve">Zemin Kat</t>
        </is>
      </c>
      <c r="D11" s="4" t="inlineStr">
        <is>
          <t xml:space="preserve">Mesken</t>
        </is>
      </c>
      <c r="E11" s="5">
        <v>3</v>
      </c>
      <c r="F11" s="9">
        <v>83.78</v>
      </c>
      <c r="G11" s="9">
        <v>0</v>
      </c>
      <c r="H11" s="5">
        <f>ROUND(F11+G11,2)</f>
        <v>83.78</v>
      </c>
      <c r="I11" s="5">
        <f>ROUND(H11+35.908333,2)</f>
        <v>119.688333</v>
      </c>
      <c r="J11" s="9">
        <v>47.48</v>
      </c>
      <c r="K11" s="9">
        <v>0</v>
      </c>
      <c r="L11" s="5">
        <f>ROUND(J11/5,2)</f>
        <v>9.496</v>
      </c>
      <c r="M11" s="9">
        <v>4.8</v>
      </c>
      <c r="N11" s="5">
        <f>IF(F11&lt;=0,0,IF(F11&lt;80,1/3,IF(F11&lt;120,1/2,IF(F11&lt;180,1,2))))</f>
        <v>0.5</v>
      </c>
    </row>
    <row r="12">
      <c r="A12" s="4" t="inlineStr">
        <is>
          <t xml:space="preserve">B</t>
        </is>
      </c>
      <c r="B12" s="4" t="inlineStr">
        <is>
          <t xml:space="preserve">3</t>
        </is>
      </c>
      <c r="C12" s="4" t="inlineStr">
        <is>
          <t xml:space="preserve">1. Kat</t>
        </is>
      </c>
      <c r="D12" s="4" t="inlineStr">
        <is>
          <t xml:space="preserve">Mesken</t>
        </is>
      </c>
      <c r="E12" s="5">
        <v>1</v>
      </c>
      <c r="F12" s="9">
        <v>66.27</v>
      </c>
      <c r="G12" s="9">
        <v>0</v>
      </c>
      <c r="H12" s="5">
        <f>ROUND(F12+G12,2)</f>
        <v>66.27</v>
      </c>
      <c r="I12" s="5">
        <f>ROUND(H12+35.908333,2)</f>
        <v>102.178333</v>
      </c>
      <c r="J12" s="9">
        <v>33.29</v>
      </c>
      <c r="K12" s="9">
        <v>0</v>
      </c>
      <c r="L12" s="5">
        <f>ROUND(J12/5,2)</f>
        <v>6.658</v>
      </c>
      <c r="M12" s="9">
        <v>5</v>
      </c>
      <c r="N12" s="5">
        <f>IF(F12&lt;=0,0,IF(F12&lt;80,1/3,IF(F12&lt;120,1/2,IF(F12&lt;180,1,2))))</f>
        <v>0.333333</v>
      </c>
    </row>
    <row r="13">
      <c r="A13" s="4" t="inlineStr">
        <is>
          <t xml:space="preserve">B</t>
        </is>
      </c>
      <c r="B13" s="4" t="inlineStr">
        <is>
          <t xml:space="preserve">4</t>
        </is>
      </c>
      <c r="C13" s="4" t="inlineStr">
        <is>
          <t xml:space="preserve">1. Kat</t>
        </is>
      </c>
      <c r="D13" s="4" t="inlineStr">
        <is>
          <t xml:space="preserve">Mesken</t>
        </is>
      </c>
      <c r="E13" s="5">
        <v>2</v>
      </c>
      <c r="F13" s="9">
        <v>83.78</v>
      </c>
      <c r="G13" s="9">
        <v>0</v>
      </c>
      <c r="H13" s="5">
        <f>ROUND(F13+G13,2)</f>
        <v>83.78</v>
      </c>
      <c r="I13" s="5">
        <f>ROUND(H13+35.908333,2)</f>
        <v>119.688333</v>
      </c>
      <c r="J13" s="9">
        <v>47.48</v>
      </c>
      <c r="K13" s="9">
        <v>0</v>
      </c>
      <c r="L13" s="5">
        <f>ROUND(J13/5,2)</f>
        <v>9.496</v>
      </c>
      <c r="M13" s="9">
        <v>4.8</v>
      </c>
      <c r="N13" s="5">
        <f>IF(F13&lt;=0,0,IF(F13&lt;80,1/3,IF(F13&lt;120,1/2,IF(F13&lt;180,1,2))))</f>
        <v>0.5</v>
      </c>
    </row>
    <row r="14">
      <c r="A14" s="4" t="inlineStr">
        <is>
          <t xml:space="preserve">B</t>
        </is>
      </c>
      <c r="B14" s="4" t="inlineStr">
        <is>
          <t xml:space="preserve">5</t>
        </is>
      </c>
      <c r="C14" s="4" t="inlineStr">
        <is>
          <t xml:space="preserve">Bodrum Kat</t>
        </is>
      </c>
      <c r="D14" s="4" t="inlineStr">
        <is>
          <t xml:space="preserve">Mesken</t>
        </is>
      </c>
      <c r="E14" s="5">
        <v>3</v>
      </c>
      <c r="F14" s="9">
        <v>66.27</v>
      </c>
      <c r="G14" s="9">
        <v>0</v>
      </c>
      <c r="H14" s="5">
        <f>ROUND(F14+G14,2)</f>
        <v>66.27</v>
      </c>
      <c r="I14" s="5">
        <f>ROUND(H14+35.908333,2)</f>
        <v>102.178333</v>
      </c>
      <c r="J14" s="9">
        <v>33.29</v>
      </c>
      <c r="K14" s="9">
        <v>0</v>
      </c>
      <c r="L14" s="5">
        <f>ROUND(J14/5,2)</f>
        <v>6.658</v>
      </c>
      <c r="M14" s="9">
        <v>5</v>
      </c>
      <c r="N14" s="5">
        <f>IF(F14&lt;=0,0,IF(F14&lt;80,1/3,IF(F14&lt;120,1/2,IF(F14&lt;180,1,2))))</f>
        <v>0.333333</v>
      </c>
    </row>
    <row r="15">
      <c r="A15" s="4" t="inlineStr">
        <is>
          <t xml:space="preserve">B</t>
        </is>
      </c>
      <c r="B15" s="4" t="inlineStr">
        <is>
          <t xml:space="preserve">6</t>
        </is>
      </c>
      <c r="C15" s="4" t="inlineStr">
        <is>
          <t xml:space="preserve">Bodrum Kat</t>
        </is>
      </c>
      <c r="D15" s="4" t="inlineStr">
        <is>
          <t xml:space="preserve">Mesken</t>
        </is>
      </c>
      <c r="E15" s="5">
        <v>1</v>
      </c>
      <c r="F15" s="9">
        <v>83.78</v>
      </c>
      <c r="G15" s="9">
        <v>0</v>
      </c>
      <c r="H15" s="5">
        <f>ROUND(F15+G15,2)</f>
        <v>83.78</v>
      </c>
      <c r="I15" s="5">
        <f>ROUND(H15+35.908333,2)</f>
        <v>119.688333</v>
      </c>
      <c r="J15" s="9">
        <v>47.48</v>
      </c>
      <c r="K15" s="9">
        <v>0</v>
      </c>
      <c r="L15" s="5">
        <f>ROUND(J15/5,2)</f>
        <v>9.496</v>
      </c>
      <c r="M15" s="9">
        <v>4.8</v>
      </c>
      <c r="N15" s="5">
        <f>IF(F15&lt;=0,0,IF(F15&lt;80,1/3,IF(F15&lt;120,1/2,IF(F15&lt;180,1,2))))</f>
        <v>0.5</v>
      </c>
    </row>
    <row r="16">
      <c r="A16" s="7" t="inlineStr">
        <is>
          <t xml:space="preserve">GENEL TOPLAM</t>
        </is>
      </c>
      <c r="F16" s="7">
        <f>ROUND(SUM(F4:F15),2)</f>
        <v>0</v>
      </c>
      <c r="G16" s="7">
        <f>ROUND(SUM(G4:G15),2)</f>
        <v>0</v>
      </c>
      <c r="H16" s="7">
        <f>ROUND(SUM(H4:H15),2)</f>
        <v>0</v>
      </c>
      <c r="I16" s="7">
        <f>ROUND(SUM(I4:I15),2)</f>
        <v>0</v>
      </c>
      <c r="J16" s="7">
        <f>ROUND(SUM(J4:J15),2)</f>
        <v>0</v>
      </c>
      <c r="K16" s="7">
        <f>ROUND(SUM(K4:K15),2)</f>
        <v>0</v>
      </c>
      <c r="L16" s="7">
        <f>ROUND(SUM(L4:L15),2)</f>
        <v>0</v>
      </c>
      <c r="M16" s="7">
        <f>ROUND(SUM(M4:M15),2)</f>
        <v>0</v>
      </c>
      <c r="N16" s="7">
        <f>SUM(N4:N15)</f>
        <v>0</v>
      </c>
    </row>
  </sheetData>
  <mergeCells count="2">
    <mergeCell ref="A1:N1"/>
    <mergeCell ref="A16:E16"/>
  </mergeCells>
  <pageMargins left="0.25" right="0.25" top="0.4" bottom="0.4" header="0.2" footer="0.2"/>
  <pageSetup orientation="landscape" fitToWidth="1" fitToHeight="0" paperSize="9"/>
</worksheet>
</file>

<file path=xl/worksheets/sheet4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8"/>
  <cols>
    <col min="1" max="1" width="10" customWidth="1"/>
    <col min="2" max="2" width="12" customWidth="1"/>
    <col min="3" max="3" width="12" customWidth="1"/>
    <col min="4" max="4" width="14" customWidth="1"/>
    <col min="5" max="5" width="18" customWidth="1"/>
    <col min="6" max="6" width="16" customWidth="1"/>
    <col min="7" max="7" width="20" customWidth="1"/>
    <col min="8" max="8" width="17" customWidth="1"/>
    <col min="9" max="9" width="17" customWidth="1"/>
    <col min="10" max="10" width="24" customWidth="1"/>
  </cols>
  <sheetData>
    <row r="1" ht="30" customHeight="1">
      <c r="A1" s="1" t="inlineStr">
        <is>
          <t xml:space="preserve">KAT İRTİFAKI TABLOSU</t>
        </is>
      </c>
    </row>
    <row r="3">
      <c r="A3" s="3" t="inlineStr">
        <is>
          <t xml:space="preserve">Blok</t>
        </is>
      </c>
      <c r="B3" s="3" t="inlineStr">
        <is>
          <t xml:space="preserve">BB No</t>
        </is>
      </c>
      <c r="C3" s="3" t="inlineStr">
        <is>
          <t xml:space="preserve">Değeri</t>
        </is>
      </c>
      <c r="D3" s="3" t="inlineStr">
        <is>
          <t xml:space="preserve">Arsa Payı</t>
        </is>
      </c>
      <c r="E3" s="3" t="inlineStr">
        <is>
          <t xml:space="preserve">Bulunduğu Kat</t>
        </is>
      </c>
      <c r="F3" s="3" t="inlineStr">
        <is>
          <t xml:space="preserve">Niteliği</t>
        </is>
      </c>
      <c r="G3" s="3" t="inlineStr">
        <is>
          <t xml:space="preserve">Eklenti</t>
        </is>
      </c>
      <c r="H3" s="3" t="inlineStr">
        <is>
          <t xml:space="preserve">BB Brüt Alanı</t>
        </is>
      </c>
      <c r="I3" s="3" t="inlineStr">
        <is>
          <t xml:space="preserve">BB Net Alanı</t>
        </is>
      </c>
      <c r="J3" s="3" t="inlineStr">
        <is>
          <t xml:space="preserve">Maliki</t>
        </is>
      </c>
    </row>
    <row r="4">
      <c r="A4" s="4" t="inlineStr">
        <is>
          <t xml:space="preserve">A</t>
        </is>
      </c>
      <c r="B4" s="4" t="inlineStr">
        <is>
          <t xml:space="preserve">1</t>
        </is>
      </c>
      <c r="C4" s="9" t="inlineStr">
        <is>
          <t xml:space="preserve"/>
        </is>
      </c>
      <c r="D4" s="9" t="inlineStr">
        <is>
          <t xml:space="preserve">1/12</t>
        </is>
      </c>
      <c r="E4" s="9" t="inlineStr">
        <is>
          <t xml:space="preserve">Zemin Kat</t>
        </is>
      </c>
      <c r="F4" s="9" t="inlineStr">
        <is>
          <t xml:space="preserve">Mesken</t>
        </is>
      </c>
      <c r="G4" s="9" t="inlineStr">
        <is>
          <t xml:space="preserve"/>
        </is>
      </c>
      <c r="H4" s="5">
        <v>66.27</v>
      </c>
      <c r="I4" s="5">
        <v>33.29</v>
      </c>
      <c r="J4" s="9" t="inlineStr">
        <is>
          <t xml:space="preserve">Malik 1</t>
        </is>
      </c>
    </row>
    <row r="5">
      <c r="A5" s="4" t="inlineStr">
        <is>
          <t xml:space="preserve">A</t>
        </is>
      </c>
      <c r="B5" s="4" t="inlineStr">
        <is>
          <t xml:space="preserve">2</t>
        </is>
      </c>
      <c r="C5" s="9" t="inlineStr">
        <is>
          <t xml:space="preserve"/>
        </is>
      </c>
      <c r="D5" s="9" t="inlineStr">
        <is>
          <t xml:space="preserve">1/12</t>
        </is>
      </c>
      <c r="E5" s="9" t="inlineStr">
        <is>
          <t xml:space="preserve">Zemin Kat</t>
        </is>
      </c>
      <c r="F5" s="9" t="inlineStr">
        <is>
          <t xml:space="preserve">Mesken</t>
        </is>
      </c>
      <c r="G5" s="9" t="inlineStr">
        <is>
          <t xml:space="preserve"/>
        </is>
      </c>
      <c r="H5" s="5">
        <v>83.78</v>
      </c>
      <c r="I5" s="5">
        <v>47.48</v>
      </c>
      <c r="J5" s="9" t="inlineStr">
        <is>
          <t xml:space="preserve">Malik 2</t>
        </is>
      </c>
    </row>
    <row r="6">
      <c r="A6" s="4" t="inlineStr">
        <is>
          <t xml:space="preserve">A</t>
        </is>
      </c>
      <c r="B6" s="4" t="inlineStr">
        <is>
          <t xml:space="preserve">3</t>
        </is>
      </c>
      <c r="C6" s="9" t="inlineStr">
        <is>
          <t xml:space="preserve"/>
        </is>
      </c>
      <c r="D6" s="9" t="inlineStr">
        <is>
          <t xml:space="preserve">1/12</t>
        </is>
      </c>
      <c r="E6" s="9" t="inlineStr">
        <is>
          <t xml:space="preserve">1. Kat</t>
        </is>
      </c>
      <c r="F6" s="9" t="inlineStr">
        <is>
          <t xml:space="preserve">Mesken</t>
        </is>
      </c>
      <c r="G6" s="9" t="inlineStr">
        <is>
          <t xml:space="preserve"/>
        </is>
      </c>
      <c r="H6" s="5">
        <v>66.27</v>
      </c>
      <c r="I6" s="5">
        <v>33.29</v>
      </c>
      <c r="J6" s="9" t="inlineStr">
        <is>
          <t xml:space="preserve">Malik 3</t>
        </is>
      </c>
    </row>
    <row r="7">
      <c r="A7" s="4" t="inlineStr">
        <is>
          <t xml:space="preserve">A</t>
        </is>
      </c>
      <c r="B7" s="4" t="inlineStr">
        <is>
          <t xml:space="preserve">4</t>
        </is>
      </c>
      <c r="C7" s="9" t="inlineStr">
        <is>
          <t xml:space="preserve"/>
        </is>
      </c>
      <c r="D7" s="9" t="inlineStr">
        <is>
          <t xml:space="preserve">1/12</t>
        </is>
      </c>
      <c r="E7" s="9" t="inlineStr">
        <is>
          <t xml:space="preserve">1. Kat</t>
        </is>
      </c>
      <c r="F7" s="9" t="inlineStr">
        <is>
          <t xml:space="preserve">Mesken</t>
        </is>
      </c>
      <c r="G7" s="9" t="inlineStr">
        <is>
          <t xml:space="preserve"/>
        </is>
      </c>
      <c r="H7" s="5">
        <v>83.78</v>
      </c>
      <c r="I7" s="5">
        <v>47.48</v>
      </c>
      <c r="J7" s="9" t="inlineStr">
        <is>
          <t xml:space="preserve">Malik 4</t>
        </is>
      </c>
    </row>
    <row r="8">
      <c r="A8" s="4" t="inlineStr">
        <is>
          <t xml:space="preserve">A</t>
        </is>
      </c>
      <c r="B8" s="4" t="inlineStr">
        <is>
          <t xml:space="preserve">5</t>
        </is>
      </c>
      <c r="C8" s="9" t="inlineStr">
        <is>
          <t xml:space="preserve"/>
        </is>
      </c>
      <c r="D8" s="9" t="inlineStr">
        <is>
          <t xml:space="preserve">1/12</t>
        </is>
      </c>
      <c r="E8" s="9" t="inlineStr">
        <is>
          <t xml:space="preserve">Bodrum Kat</t>
        </is>
      </c>
      <c r="F8" s="9" t="inlineStr">
        <is>
          <t xml:space="preserve">Mesken</t>
        </is>
      </c>
      <c r="G8" s="9" t="inlineStr">
        <is>
          <t xml:space="preserve"/>
        </is>
      </c>
      <c r="H8" s="5">
        <v>66.27</v>
      </c>
      <c r="I8" s="5">
        <v>33.29</v>
      </c>
      <c r="J8" s="9" t="inlineStr">
        <is>
          <t xml:space="preserve">Malik 5</t>
        </is>
      </c>
    </row>
    <row r="9">
      <c r="A9" s="4" t="inlineStr">
        <is>
          <t xml:space="preserve">A</t>
        </is>
      </c>
      <c r="B9" s="4" t="inlineStr">
        <is>
          <t xml:space="preserve">6</t>
        </is>
      </c>
      <c r="C9" s="9" t="inlineStr">
        <is>
          <t xml:space="preserve"/>
        </is>
      </c>
      <c r="D9" s="9" t="inlineStr">
        <is>
          <t xml:space="preserve">1/12</t>
        </is>
      </c>
      <c r="E9" s="9" t="inlineStr">
        <is>
          <t xml:space="preserve">Bodrum Kat</t>
        </is>
      </c>
      <c r="F9" s="9" t="inlineStr">
        <is>
          <t xml:space="preserve">Mesken</t>
        </is>
      </c>
      <c r="G9" s="9" t="inlineStr">
        <is>
          <t xml:space="preserve"/>
        </is>
      </c>
      <c r="H9" s="5">
        <v>83.78</v>
      </c>
      <c r="I9" s="5">
        <v>47.48</v>
      </c>
      <c r="J9" s="9" t="inlineStr">
        <is>
          <t xml:space="preserve">Malik 6</t>
        </is>
      </c>
    </row>
    <row r="10">
      <c r="A10" s="4" t="inlineStr">
        <is>
          <t xml:space="preserve">B</t>
        </is>
      </c>
      <c r="B10" s="4" t="inlineStr">
        <is>
          <t xml:space="preserve">1</t>
        </is>
      </c>
      <c r="C10" s="9" t="inlineStr">
        <is>
          <t xml:space="preserve"/>
        </is>
      </c>
      <c r="D10" s="9" t="inlineStr">
        <is>
          <t xml:space="preserve">1/12</t>
        </is>
      </c>
      <c r="E10" s="9" t="inlineStr">
        <is>
          <t xml:space="preserve">Zemin Kat</t>
        </is>
      </c>
      <c r="F10" s="9" t="inlineStr">
        <is>
          <t xml:space="preserve">Mesken</t>
        </is>
      </c>
      <c r="G10" s="9" t="inlineStr">
        <is>
          <t xml:space="preserve"/>
        </is>
      </c>
      <c r="H10" s="5">
        <v>66.27</v>
      </c>
      <c r="I10" s="5">
        <v>33.29</v>
      </c>
      <c r="J10" s="9" t="inlineStr">
        <is>
          <t xml:space="preserve">Malik 1</t>
        </is>
      </c>
    </row>
    <row r="11">
      <c r="A11" s="4" t="inlineStr">
        <is>
          <t xml:space="preserve">B</t>
        </is>
      </c>
      <c r="B11" s="4" t="inlineStr">
        <is>
          <t xml:space="preserve">2</t>
        </is>
      </c>
      <c r="C11" s="9" t="inlineStr">
        <is>
          <t xml:space="preserve"/>
        </is>
      </c>
      <c r="D11" s="9" t="inlineStr">
        <is>
          <t xml:space="preserve">1/12</t>
        </is>
      </c>
      <c r="E11" s="9" t="inlineStr">
        <is>
          <t xml:space="preserve">Zemin Kat</t>
        </is>
      </c>
      <c r="F11" s="9" t="inlineStr">
        <is>
          <t xml:space="preserve">Mesken</t>
        </is>
      </c>
      <c r="G11" s="9" t="inlineStr">
        <is>
          <t xml:space="preserve"/>
        </is>
      </c>
      <c r="H11" s="5">
        <v>83.78</v>
      </c>
      <c r="I11" s="5">
        <v>47.48</v>
      </c>
      <c r="J11" s="9" t="inlineStr">
        <is>
          <t xml:space="preserve">Malik 2</t>
        </is>
      </c>
    </row>
    <row r="12">
      <c r="A12" s="4" t="inlineStr">
        <is>
          <t xml:space="preserve">B</t>
        </is>
      </c>
      <c r="B12" s="4" t="inlineStr">
        <is>
          <t xml:space="preserve">3</t>
        </is>
      </c>
      <c r="C12" s="9" t="inlineStr">
        <is>
          <t xml:space="preserve"/>
        </is>
      </c>
      <c r="D12" s="9" t="inlineStr">
        <is>
          <t xml:space="preserve">1/12</t>
        </is>
      </c>
      <c r="E12" s="9" t="inlineStr">
        <is>
          <t xml:space="preserve">1. Kat</t>
        </is>
      </c>
      <c r="F12" s="9" t="inlineStr">
        <is>
          <t xml:space="preserve">Mesken</t>
        </is>
      </c>
      <c r="G12" s="9" t="inlineStr">
        <is>
          <t xml:space="preserve"/>
        </is>
      </c>
      <c r="H12" s="5">
        <v>66.27</v>
      </c>
      <c r="I12" s="5">
        <v>33.29</v>
      </c>
      <c r="J12" s="9" t="inlineStr">
        <is>
          <t xml:space="preserve">Malik 3</t>
        </is>
      </c>
    </row>
    <row r="13">
      <c r="A13" s="4" t="inlineStr">
        <is>
          <t xml:space="preserve">B</t>
        </is>
      </c>
      <c r="B13" s="4" t="inlineStr">
        <is>
          <t xml:space="preserve">4</t>
        </is>
      </c>
      <c r="C13" s="9" t="inlineStr">
        <is>
          <t xml:space="preserve"/>
        </is>
      </c>
      <c r="D13" s="9" t="inlineStr">
        <is>
          <t xml:space="preserve">1/12</t>
        </is>
      </c>
      <c r="E13" s="9" t="inlineStr">
        <is>
          <t xml:space="preserve">1. Kat</t>
        </is>
      </c>
      <c r="F13" s="9" t="inlineStr">
        <is>
          <t xml:space="preserve">Mesken</t>
        </is>
      </c>
      <c r="G13" s="9" t="inlineStr">
        <is>
          <t xml:space="preserve"/>
        </is>
      </c>
      <c r="H13" s="5">
        <v>83.78</v>
      </c>
      <c r="I13" s="5">
        <v>47.48</v>
      </c>
      <c r="J13" s="9" t="inlineStr">
        <is>
          <t xml:space="preserve">Malik 4</t>
        </is>
      </c>
    </row>
    <row r="14">
      <c r="A14" s="4" t="inlineStr">
        <is>
          <t xml:space="preserve">B</t>
        </is>
      </c>
      <c r="B14" s="4" t="inlineStr">
        <is>
          <t xml:space="preserve">5</t>
        </is>
      </c>
      <c r="C14" s="9" t="inlineStr">
        <is>
          <t xml:space="preserve"/>
        </is>
      </c>
      <c r="D14" s="9" t="inlineStr">
        <is>
          <t xml:space="preserve">1/12</t>
        </is>
      </c>
      <c r="E14" s="9" t="inlineStr">
        <is>
          <t xml:space="preserve">Bodrum Kat</t>
        </is>
      </c>
      <c r="F14" s="9" t="inlineStr">
        <is>
          <t xml:space="preserve">Mesken</t>
        </is>
      </c>
      <c r="G14" s="9" t="inlineStr">
        <is>
          <t xml:space="preserve"/>
        </is>
      </c>
      <c r="H14" s="5">
        <v>66.27</v>
      </c>
      <c r="I14" s="5">
        <v>33.29</v>
      </c>
      <c r="J14" s="9" t="inlineStr">
        <is>
          <t xml:space="preserve">Malik 5</t>
        </is>
      </c>
    </row>
    <row r="15">
      <c r="A15" s="4" t="inlineStr">
        <is>
          <t xml:space="preserve">B</t>
        </is>
      </c>
      <c r="B15" s="4" t="inlineStr">
        <is>
          <t xml:space="preserve">6</t>
        </is>
      </c>
      <c r="C15" s="9" t="inlineStr">
        <is>
          <t xml:space="preserve"/>
        </is>
      </c>
      <c r="D15" s="9" t="inlineStr">
        <is>
          <t xml:space="preserve">1/12</t>
        </is>
      </c>
      <c r="E15" s="9" t="inlineStr">
        <is>
          <t xml:space="preserve">Bodrum Kat</t>
        </is>
      </c>
      <c r="F15" s="9" t="inlineStr">
        <is>
          <t xml:space="preserve">Mesken</t>
        </is>
      </c>
      <c r="G15" s="9" t="inlineStr">
        <is>
          <t xml:space="preserve"/>
        </is>
      </c>
      <c r="H15" s="5">
        <v>83.78</v>
      </c>
      <c r="I15" s="5">
        <v>47.48</v>
      </c>
      <c r="J15" s="9" t="inlineStr">
        <is>
          <t xml:space="preserve">Malik 6</t>
        </is>
      </c>
    </row>
    <row r="16">
      <c r="A16" s="7" t="inlineStr">
        <is>
          <t xml:space="preserve">GENEL TOPLAM</t>
        </is>
      </c>
      <c r="H16" s="7">
        <f>SUM(H4:H15)</f>
        <v>0</v>
      </c>
      <c r="I16" s="7">
        <f>SUM(I4:I15)</f>
        <v>0</v>
      </c>
    </row>
  </sheetData>
  <mergeCells count="2">
    <mergeCell ref="A1:J1"/>
    <mergeCell ref="A16:G16"/>
  </mergeCells>
  <pageMargins left="0.25" right="0.25" top="0.4" bottom="0.4" header="0.2" footer="0.2"/>
  <pageSetup orientation="landscape" fitToWidth="1" fitToHeight="0" paperSize="9"/>
</worksheet>
</file>

<file path=xl/worksheets/sheet5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8"/>
  <cols>
    <col min="1" max="1" width="11" customWidth="1"/>
    <col min="2" max="2" width="20" customWidth="1"/>
    <col min="3" max="3" width="17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8" customWidth="1"/>
  </cols>
  <sheetData>
    <row r="1" ht="30" customHeight="1">
      <c r="A1" s="1" t="inlineStr">
        <is>
          <t xml:space="preserve">YAPI İNŞAAT ALANI</t>
        </is>
      </c>
    </row>
    <row r="3">
      <c r="A3" s="3" t="inlineStr">
        <is>
          <t xml:space="preserve">Blok</t>
        </is>
      </c>
      <c r="B3" s="3" t="inlineStr">
        <is>
          <t xml:space="preserve">Kat</t>
        </is>
      </c>
      <c r="C3" s="3" t="inlineStr">
        <is>
          <t xml:space="preserve">BB Brüt Alanı</t>
        </is>
      </c>
      <c r="D3" s="3" t="inlineStr">
        <is>
          <t xml:space="preserve">Asansör</t>
        </is>
      </c>
      <c r="E3" s="3" t="inlineStr">
        <is>
          <t xml:space="preserve">Enerji Odası</t>
        </is>
      </c>
      <c r="F3" s="3" t="inlineStr">
        <is>
          <t xml:space="preserve">Toplam Kat Holü</t>
        </is>
      </c>
      <c r="G3" s="3" t="inlineStr">
        <is>
          <t xml:space="preserve">Merdiven</t>
        </is>
      </c>
      <c r="H3" s="3" t="inlineStr">
        <is>
          <t xml:space="preserve">Sığınak</t>
        </is>
      </c>
      <c r="I3" s="3" t="inlineStr">
        <is>
          <t xml:space="preserve">Su Deposu</t>
        </is>
      </c>
      <c r="J3" s="3" t="inlineStr">
        <is>
          <t xml:space="preserve">Kat Yüzölçümü</t>
        </is>
      </c>
    </row>
    <row r="4">
      <c r="A4" s="4" t="inlineStr">
        <is>
          <t xml:space="preserve">A</t>
        </is>
      </c>
      <c r="B4" s="4" t="inlineStr">
        <is>
          <t xml:space="preserve">Bodrum Kat</t>
        </is>
      </c>
      <c r="C4" s="5">
        <v>150.05</v>
      </c>
      <c r="D4" s="9">
        <v>4.49</v>
      </c>
      <c r="E4" s="9">
        <v>9.49</v>
      </c>
      <c r="F4" s="9">
        <v>21.45</v>
      </c>
      <c r="G4" s="9">
        <v>11.35</v>
      </c>
      <c r="H4" s="9">
        <v>57.08</v>
      </c>
      <c r="I4" s="9">
        <v>17.28</v>
      </c>
      <c r="J4" s="5">
        <f>ROUND(SUM(C4:I4),2)</f>
        <v>271.19</v>
      </c>
    </row>
    <row r="5">
      <c r="A5" s="4" t="inlineStr">
        <is>
          <t xml:space="preserve">A</t>
        </is>
      </c>
      <c r="B5" s="4" t="inlineStr">
        <is>
          <t xml:space="preserve">Zemin Kat</t>
        </is>
      </c>
      <c r="C5" s="5">
        <v>150.05</v>
      </c>
      <c r="D5" s="9">
        <v>4.49</v>
      </c>
      <c r="E5" s="9">
        <v>0</v>
      </c>
      <c r="F5" s="9">
        <v>17.04</v>
      </c>
      <c r="G5" s="9">
        <v>11.06</v>
      </c>
      <c r="H5" s="9">
        <v>0</v>
      </c>
      <c r="I5" s="9">
        <v>0</v>
      </c>
      <c r="J5" s="5">
        <f>ROUND(SUM(C5:I5),2)</f>
        <v>182.64</v>
      </c>
    </row>
    <row r="6">
      <c r="A6" s="4" t="inlineStr">
        <is>
          <t xml:space="preserve">A</t>
        </is>
      </c>
      <c r="B6" s="4" t="inlineStr">
        <is>
          <t xml:space="preserve">1. Kat</t>
        </is>
      </c>
      <c r="C6" s="5">
        <v>150.05</v>
      </c>
      <c r="D6" s="9">
        <v>4.49</v>
      </c>
      <c r="E6" s="9">
        <v>0</v>
      </c>
      <c r="F6" s="9">
        <v>17.03</v>
      </c>
      <c r="G6" s="9">
        <v>11.06</v>
      </c>
      <c r="H6" s="9">
        <v>0</v>
      </c>
      <c r="I6" s="9">
        <v>0</v>
      </c>
      <c r="J6" s="5">
        <f>ROUND(SUM(C6:I6),2)</f>
        <v>182.63</v>
      </c>
    </row>
    <row r="7">
      <c r="A7" s="4" t="inlineStr">
        <is>
          <t xml:space="preserve">A</t>
        </is>
      </c>
      <c r="B7" s="4" t="inlineStr">
        <is>
          <t xml:space="preserve">Çatı Katı</t>
        </is>
      </c>
      <c r="C7" s="5">
        <v>0</v>
      </c>
      <c r="D7" s="9">
        <v>5.59</v>
      </c>
      <c r="E7" s="9">
        <v>0</v>
      </c>
      <c r="F7" s="9">
        <v>9.82</v>
      </c>
      <c r="G7" s="9">
        <v>13.73</v>
      </c>
      <c r="H7" s="9">
        <v>0</v>
      </c>
      <c r="I7" s="9">
        <v>0</v>
      </c>
      <c r="J7" s="5">
        <f>ROUND(SUM(C7:I7),2)</f>
        <v>29.14</v>
      </c>
    </row>
    <row r="8">
      <c r="A8" s="4" t="inlineStr">
        <is>
          <t xml:space="preserve">B</t>
        </is>
      </c>
      <c r="B8" s="4" t="inlineStr">
        <is>
          <t xml:space="preserve">Bodrum Kat</t>
        </is>
      </c>
      <c r="C8" s="5">
        <v>150.05</v>
      </c>
      <c r="D8" s="9">
        <v>4.49</v>
      </c>
      <c r="E8" s="9">
        <v>9.49</v>
      </c>
      <c r="F8" s="9">
        <v>21.45</v>
      </c>
      <c r="G8" s="9">
        <v>11.35</v>
      </c>
      <c r="H8" s="9">
        <v>57.08</v>
      </c>
      <c r="I8" s="9">
        <v>17.28</v>
      </c>
      <c r="J8" s="5">
        <f>ROUND(SUM(C8:I8),2)</f>
        <v>271.19</v>
      </c>
    </row>
    <row r="9">
      <c r="A9" s="4" t="inlineStr">
        <is>
          <t xml:space="preserve">B</t>
        </is>
      </c>
      <c r="B9" s="4" t="inlineStr">
        <is>
          <t xml:space="preserve">Zemin Kat</t>
        </is>
      </c>
      <c r="C9" s="5">
        <v>150.05</v>
      </c>
      <c r="D9" s="9">
        <v>4.49</v>
      </c>
      <c r="E9" s="9">
        <v>0</v>
      </c>
      <c r="F9" s="9">
        <v>17.04</v>
      </c>
      <c r="G9" s="9">
        <v>11.06</v>
      </c>
      <c r="H9" s="9">
        <v>0</v>
      </c>
      <c r="I9" s="9">
        <v>0</v>
      </c>
      <c r="J9" s="5">
        <f>ROUND(SUM(C9:I9),2)</f>
        <v>182.64</v>
      </c>
    </row>
    <row r="10">
      <c r="A10" s="4" t="inlineStr">
        <is>
          <t xml:space="preserve">B</t>
        </is>
      </c>
      <c r="B10" s="4" t="inlineStr">
        <is>
          <t xml:space="preserve">1. Kat</t>
        </is>
      </c>
      <c r="C10" s="5">
        <v>150.05</v>
      </c>
      <c r="D10" s="9">
        <v>4.49</v>
      </c>
      <c r="E10" s="9">
        <v>0</v>
      </c>
      <c r="F10" s="9">
        <v>17.03</v>
      </c>
      <c r="G10" s="9">
        <v>11.06</v>
      </c>
      <c r="H10" s="9">
        <v>0</v>
      </c>
      <c r="I10" s="9">
        <v>0</v>
      </c>
      <c r="J10" s="5">
        <f>ROUND(SUM(C10:I10),2)</f>
        <v>182.63</v>
      </c>
    </row>
    <row r="11">
      <c r="A11" s="4" t="inlineStr">
        <is>
          <t xml:space="preserve">B</t>
        </is>
      </c>
      <c r="B11" s="4" t="inlineStr">
        <is>
          <t xml:space="preserve">Çatı Katı</t>
        </is>
      </c>
      <c r="C11" s="5">
        <v>0</v>
      </c>
      <c r="D11" s="9">
        <v>5.59</v>
      </c>
      <c r="E11" s="9">
        <v>0</v>
      </c>
      <c r="F11" s="9">
        <v>9.82</v>
      </c>
      <c r="G11" s="9">
        <v>13.73</v>
      </c>
      <c r="H11" s="9">
        <v>0</v>
      </c>
      <c r="I11" s="9">
        <v>0</v>
      </c>
      <c r="J11" s="5">
        <f>ROUND(SUM(C11:I11),2)</f>
        <v>29.14</v>
      </c>
    </row>
    <row r="12">
      <c r="A12" s="7" t="inlineStr">
        <is>
          <t xml:space="preserve">GENEL TOPLAM</t>
        </is>
      </c>
      <c r="C12" s="7">
        <f>ROUND(SUM(C4:C11),2)</f>
        <v>0</v>
      </c>
      <c r="D12" s="7">
        <f>ROUND(SUM(D4:D11),2)</f>
        <v>0</v>
      </c>
      <c r="E12" s="7">
        <f>ROUND(SUM(E4:E11),2)</f>
        <v>0</v>
      </c>
      <c r="F12" s="7">
        <f>ROUND(SUM(F4:F11),2)</f>
        <v>0</v>
      </c>
      <c r="G12" s="7">
        <f>ROUND(SUM(G4:G11),2)</f>
        <v>0</v>
      </c>
      <c r="H12" s="7">
        <f>ROUND(SUM(H4:H11),2)</f>
        <v>0</v>
      </c>
      <c r="I12" s="7">
        <f>ROUND(SUM(I4:I11),2)</f>
        <v>0</v>
      </c>
      <c r="J12" s="7">
        <f>ROUND(SUM(J4:J11),2)</f>
        <v>0</v>
      </c>
    </row>
  </sheetData>
  <mergeCells count="2">
    <mergeCell ref="A1:J1"/>
    <mergeCell ref="A12:B12"/>
  </mergeCells>
  <pageMargins left="0.25" right="0.25" top="0.4" bottom="0.4" header="0.2" footer="0.2"/>
  <pageSetup orientation="landscape" fitToWidth="1" fitToHeight="0" paperSize="9"/>
</worksheet>
</file>

<file path=xl/worksheets/sheet6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</cols>
  <sheetData>
    <row r="1" ht="30" customHeight="1">
      <c r="A1" s="1" t="inlineStr">
        <is>
          <t xml:space="preserve">İNŞAAT ALANI HESABI</t>
        </is>
      </c>
    </row>
    <row r="3">
      <c r="A3" s="3" t="inlineStr">
        <is>
          <t xml:space="preserve">Kat / Alan</t>
        </is>
      </c>
      <c r="B3" s="3" t="inlineStr">
        <is>
          <t xml:space="preserve">A BLOK</t>
        </is>
      </c>
      <c r="C3" s="3" t="inlineStr">
        <is>
          <t xml:space="preserve">B BLOK</t>
        </is>
      </c>
      <c r="D3" s="3" t="inlineStr">
        <is>
          <t xml:space="preserve">TOPLAM</t>
        </is>
      </c>
    </row>
    <row r="4">
      <c r="A4" s="4" t="inlineStr">
        <is>
          <t xml:space="preserve">Bodrum Kat</t>
        </is>
      </c>
      <c r="B4" s="5">
        <f>'Yapı İnşaat Alanı'!J4</f>
        <v>271.19</v>
      </c>
      <c r="C4" s="5">
        <f>'Yapı İnşaat Alanı'!J8</f>
        <v>271.19</v>
      </c>
      <c r="D4" s="5">
        <f>ROUND(SUM(B4:C4),2)</f>
        <v>542.38</v>
      </c>
    </row>
    <row r="5">
      <c r="A5" s="4" t="inlineStr">
        <is>
          <t xml:space="preserve">Zemin Kat</t>
        </is>
      </c>
      <c r="B5" s="5">
        <f>'Yapı İnşaat Alanı'!J5</f>
        <v>182.64</v>
      </c>
      <c r="C5" s="5">
        <f>'Yapı İnşaat Alanı'!J9</f>
        <v>182.64</v>
      </c>
      <c r="D5" s="5">
        <f>ROUND(SUM(B5:C5),2)</f>
        <v>365.28</v>
      </c>
    </row>
    <row r="6">
      <c r="A6" s="4" t="inlineStr">
        <is>
          <t xml:space="preserve">1. Kat</t>
        </is>
      </c>
      <c r="B6" s="5">
        <f>'Yapı İnşaat Alanı'!J6</f>
        <v>182.63</v>
      </c>
      <c r="C6" s="5">
        <f>'Yapı İnşaat Alanı'!J10</f>
        <v>182.63</v>
      </c>
      <c r="D6" s="5">
        <f>ROUND(SUM(B6:C6),2)</f>
        <v>365.26</v>
      </c>
    </row>
    <row r="7">
      <c r="A7" s="4" t="inlineStr">
        <is>
          <t xml:space="preserve">Çatı Katı</t>
        </is>
      </c>
      <c r="B7" s="5">
        <f>'Yapı İnşaat Alanı'!J7</f>
        <v>29.14</v>
      </c>
      <c r="C7" s="5">
        <f>'Yapı İnşaat Alanı'!J11</f>
        <v>29.14</v>
      </c>
      <c r="D7" s="5">
        <f>ROUND(SUM(B7:C7),2)</f>
        <v>58.28</v>
      </c>
    </row>
    <row r="8">
      <c r="A8" s="2" t="inlineStr">
        <is>
          <t xml:space="preserve">İstinat Duvarı</t>
        </is>
      </c>
      <c r="B8" s="2" t="inlineStr">
        <is>
          <t xml:space="preserve">—</t>
        </is>
      </c>
      <c r="C8" s="2" t="inlineStr">
        <is>
          <t xml:space="preserve">—</t>
        </is>
      </c>
      <c r="D8" s="2">
        <f>'Diğer Hesaplar'!B5</f>
        <v>652.82</v>
      </c>
    </row>
    <row r="9">
      <c r="A9" s="7" t="inlineStr">
        <is>
          <t xml:space="preserve">GENEL TOPLAM</t>
        </is>
      </c>
      <c r="B9" s="7">
        <f>ROUND(SUM(B4:B8),2)</f>
        <v>0</v>
      </c>
      <c r="C9" s="7">
        <f>ROUND(SUM(C4:C8),2)</f>
        <v>0</v>
      </c>
      <c r="D9" s="7">
        <f>ROUND(SUM(D4:D8),2)</f>
        <v>0</v>
      </c>
    </row>
  </sheetData>
  <mergeCells count="1">
    <mergeCell ref="A1:D1"/>
  </mergeCells>
  <pageMargins left="0.25" right="0.25" top="0.4" bottom="0.4" header="0.2" footer="0.2"/>
  <pageSetup orientation="landscape" fitToWidth="1" fitToHeight="0" paperSize="9"/>
</worksheet>
</file>

<file path=xl/worksheets/sheet7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34" customWidth="1"/>
    <col min="2" max="2" width="18" customWidth="1"/>
    <col min="3" max="3" width="58" customWidth="1"/>
  </cols>
  <sheetData>
    <row r="1" ht="30" customHeight="1">
      <c r="A1" s="1" t="inlineStr">
        <is>
          <t xml:space="preserve">DİĞER RUHSAT HESAPLARI</t>
        </is>
      </c>
    </row>
    <row r="3">
      <c r="A3" s="2" t="inlineStr">
        <is>
          <t xml:space="preserve">İSTİNAT DUVARI ALAN HESABI</t>
        </is>
      </c>
    </row>
    <row r="4">
      <c r="A4" s="3" t="inlineStr">
        <is>
          <t xml:space="preserve">İstinat Duvarı</t>
        </is>
      </c>
      <c r="B4" s="3" t="inlineStr">
        <is>
          <t xml:space="preserve">Alan (m²)</t>
        </is>
      </c>
    </row>
    <row r="5">
      <c r="A5" s="7" t="inlineStr">
        <is>
          <t xml:space="preserve">TOPLAM</t>
        </is>
      </c>
      <c r="B5" s="7">
        <f>ROUND(SUM(B6:B7),2)</f>
        <v>652.82</v>
      </c>
    </row>
    <row r="6">
      <c r="A6" s="4" t="inlineStr">
        <is>
          <t xml:space="preserve">İstinat Duvarı 1</t>
        </is>
      </c>
      <c r="B6" s="9">
        <v>312.4</v>
      </c>
    </row>
    <row r="7">
      <c r="A7" s="4" t="inlineStr">
        <is>
          <t xml:space="preserve">İstinat Duvarı 2</t>
        </is>
      </c>
      <c r="B7" s="9">
        <v>340.42</v>
      </c>
    </row>
    <row r="10">
      <c r="A10" s="2" t="inlineStr">
        <is>
          <t xml:space="preserve">0.00 VE SUBASMAN KOTLARI</t>
        </is>
      </c>
    </row>
    <row r="11">
      <c r="A11" s="3" t="inlineStr">
        <is>
          <t xml:space="preserve">Blok</t>
        </is>
      </c>
      <c r="B11" s="3" t="inlineStr">
        <is>
          <t xml:space="preserve">0.00 Kotu</t>
        </is>
      </c>
      <c r="C11" s="3" t="inlineStr">
        <is>
          <t xml:space="preserve">Subasman Kotu</t>
        </is>
      </c>
    </row>
    <row r="12">
      <c r="A12" s="4" t="inlineStr">
        <is>
          <t xml:space="preserve">A</t>
        </is>
      </c>
      <c r="B12" s="9" t="inlineStr">
        <is>
          <t xml:space="preserve">+114,50</t>
        </is>
      </c>
      <c r="C12" s="9" t="inlineStr">
        <is>
          <t xml:space="preserve">+115,35</t>
        </is>
      </c>
    </row>
    <row r="13">
      <c r="A13" s="4" t="inlineStr">
        <is>
          <t xml:space="preserve">B</t>
        </is>
      </c>
      <c r="B13" s="9" t="inlineStr">
        <is>
          <t xml:space="preserve">+114,50</t>
        </is>
      </c>
      <c r="C13" s="9" t="inlineStr">
        <is>
          <t xml:space="preserve">+115,35</t>
        </is>
      </c>
    </row>
    <row r="16">
      <c r="A16" s="2" t="inlineStr">
        <is>
          <t xml:space="preserve">OTOPARK HESABI</t>
        </is>
      </c>
    </row>
    <row r="17">
      <c r="A17" s="4" t="inlineStr">
        <is>
          <t xml:space="preserve">Gerekli Otopark</t>
        </is>
      </c>
      <c r="B17" s="5">
        <v>5</v>
      </c>
    </row>
    <row r="18">
      <c r="A18" s="4" t="inlineStr">
        <is>
          <t xml:space="preserve">Projede Ayrılan</t>
        </is>
      </c>
      <c r="B18" s="9">
        <v>12</v>
      </c>
    </row>
    <row r="19">
      <c r="A19" s="4" t="inlineStr">
        <is>
          <t xml:space="preserve">Kontrol</t>
        </is>
      </c>
      <c r="B19" s="8">
        <f>IF(B18&gt;=B17,"SAĞLANDI","EKSİK")</f>
        <v>0</v>
      </c>
    </row>
    <row r="22">
      <c r="A22" s="2" t="inlineStr">
        <is>
          <t xml:space="preserve">KAZI–DOLGU HESABI</t>
        </is>
      </c>
    </row>
    <row r="23">
      <c r="A23" s="4" t="inlineStr">
        <is>
          <t xml:space="preserve">Harita mühendisinin hazırladığı kazı dolgu belgesine göre işlem yapılacaktır.</t>
        </is>
      </c>
    </row>
    <row r="26">
      <c r="A26" s="2" t="inlineStr">
        <is>
          <t xml:space="preserve">Sığınak Hesabı</t>
        </is>
      </c>
    </row>
    <row r="27">
      <c r="A27" s="4" t="inlineStr">
        <is>
          <t xml:space="preserve">Sığınak gerekliliği kullanım türü, bağımsız bölüm/yatak/kişi sayısı ve emsale konu alana göre yönetmelik kapsamında kontrol edilir.</t>
        </is>
      </c>
    </row>
  </sheetData>
  <mergeCells count="3">
    <mergeCell ref="A1:C1"/>
    <mergeCell ref="A23:C23"/>
    <mergeCell ref="A27:C27"/>
  </mergeCells>
  <pageMargins left="0.25" right="0.25" top="0.4" bottom="0.4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Ruhsat Hesap</Application>
  <AppVersion>0.4.0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Ruhsat Hesap Archicad Add-On</dc:creator>
  <dc:title>Mimari Ruhsat Hesap Raporu</dc:title>
</cp:coreProperties>
</file>